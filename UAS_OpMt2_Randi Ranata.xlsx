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3\Optimization Methods\"/>
    </mc:Choice>
  </mc:AlternateContent>
  <xr:revisionPtr revIDLastSave="0" documentId="13_ncr:1_{8C5564C7-CCBD-4D66-8B64-77119D5EF1DC}" xr6:coauthVersionLast="47" xr6:coauthVersionMax="47" xr10:uidLastSave="{00000000-0000-0000-0000-000000000000}"/>
  <bookViews>
    <workbookView xWindow="-28920" yWindow="-120" windowWidth="29040" windowHeight="15720" xr2:uid="{0D8C02CB-0300-46B5-A56F-4548AE282F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1" l="1"/>
  <c r="F16" i="1"/>
  <c r="F15" i="1"/>
  <c r="C15" i="1"/>
  <c r="E15" i="1"/>
  <c r="G9" i="1" s="1"/>
  <c r="H9" i="1" s="1"/>
  <c r="I9" i="1" s="1"/>
  <c r="C16" i="1"/>
  <c r="F9" i="1"/>
  <c r="E9" i="1"/>
  <c r="D9" i="1"/>
  <c r="E10" i="1"/>
  <c r="E11" i="1"/>
  <c r="E12" i="1"/>
  <c r="E13" i="1"/>
  <c r="D10" i="1"/>
  <c r="F10" i="1" s="1"/>
  <c r="D11" i="1"/>
  <c r="F11" i="1" s="1"/>
  <c r="D12" i="1"/>
  <c r="F12" i="1" s="1"/>
  <c r="D13" i="1"/>
  <c r="F13" i="1" s="1"/>
  <c r="E16" i="1" l="1"/>
  <c r="G11" i="1" l="1"/>
  <c r="H11" i="1" s="1"/>
  <c r="I11" i="1" s="1"/>
  <c r="J11" i="1" s="1"/>
  <c r="L11" i="1" s="1"/>
  <c r="G10" i="1"/>
  <c r="H10" i="1" s="1"/>
  <c r="I10" i="1" s="1"/>
  <c r="J10" i="1" s="1"/>
  <c r="L10" i="1" s="1"/>
  <c r="G13" i="1"/>
  <c r="H13" i="1" s="1"/>
  <c r="I13" i="1" s="1"/>
  <c r="J13" i="1" s="1"/>
  <c r="L13" i="1" s="1"/>
  <c r="G12" i="1"/>
  <c r="H12" i="1" s="1"/>
  <c r="I12" i="1" s="1"/>
  <c r="J12" i="1" s="1"/>
  <c r="L12" i="1" s="1"/>
  <c r="J9" i="1" l="1"/>
  <c r="K9" i="1" s="1"/>
  <c r="K12" i="1"/>
  <c r="K13" i="1"/>
  <c r="K10" i="1"/>
  <c r="K11" i="1"/>
  <c r="L9" i="1" l="1"/>
  <c r="M10" i="1" l="1"/>
  <c r="N10" i="1" s="1"/>
  <c r="O10" i="1" s="1"/>
  <c r="P10" i="1" s="1"/>
  <c r="M9" i="1"/>
  <c r="K16" i="1"/>
  <c r="N9" i="1"/>
  <c r="M11" i="1"/>
  <c r="N11" i="1" s="1"/>
  <c r="O11" i="1" s="1"/>
  <c r="P11" i="1" s="1"/>
  <c r="M13" i="1"/>
  <c r="N13" i="1" s="1"/>
  <c r="O13" i="1" s="1"/>
  <c r="P13" i="1" s="1"/>
  <c r="M12" i="1"/>
  <c r="N12" i="1" s="1"/>
  <c r="O12" i="1" s="1"/>
  <c r="P12" i="1" s="1"/>
  <c r="O9" i="1" l="1"/>
  <c r="P9" i="1" s="1"/>
  <c r="R13" i="1"/>
  <c r="Q13" i="1"/>
  <c r="R10" i="1"/>
  <c r="Q10" i="1"/>
  <c r="R12" i="1"/>
  <c r="Q12" i="1"/>
  <c r="R11" i="1"/>
  <c r="Q11" i="1"/>
  <c r="R9" i="1" l="1"/>
  <c r="Q9" i="1"/>
  <c r="Q15" i="1" l="1"/>
  <c r="Q16" i="1" s="1"/>
</calcChain>
</file>

<file path=xl/sharedStrings.xml><?xml version="1.0" encoding="utf-8"?>
<sst xmlns="http://schemas.openxmlformats.org/spreadsheetml/2006/main" count="54" uniqueCount="46">
  <si>
    <t>Parameter</t>
  </si>
  <si>
    <t>Nilai</t>
  </si>
  <si>
    <t>w</t>
  </si>
  <si>
    <t>c1</t>
  </si>
  <si>
    <t>c2</t>
  </si>
  <si>
    <t>r1</t>
  </si>
  <si>
    <t>r2</t>
  </si>
  <si>
    <t>Partikel</t>
  </si>
  <si>
    <t>x awal</t>
  </si>
  <si>
    <t>v awal</t>
  </si>
  <si>
    <t>P1</t>
  </si>
  <si>
    <t>P2</t>
  </si>
  <si>
    <t>P3</t>
  </si>
  <si>
    <t>P4</t>
  </si>
  <si>
    <t>P5</t>
  </si>
  <si>
    <r>
      <t>f(x)=x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−10x+25</t>
    </r>
  </si>
  <si>
    <t>Fungsi</t>
  </si>
  <si>
    <t>f(x)</t>
  </si>
  <si>
    <t>pBest</t>
  </si>
  <si>
    <t>f(pBest)</t>
  </si>
  <si>
    <t>gBest</t>
  </si>
  <si>
    <t>f(gBest)</t>
  </si>
  <si>
    <t>Rumus PSO</t>
  </si>
  <si>
    <r>
      <t>v=wv+c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​r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​(pBest−x)+c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​r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​(gBest−x)</t>
    </r>
  </si>
  <si>
    <t>Rumus untuk menyederhanakan nya</t>
  </si>
  <si>
    <r>
      <t>v=c</t>
    </r>
    <r>
      <rPr>
        <vertAlign val="subscript"/>
        <sz val="11"/>
        <color theme="1"/>
        <rFont val="Calibri"/>
        <family val="2"/>
        <scheme val="minor"/>
      </rPr>
      <t>2​</t>
    </r>
    <r>
      <rPr>
        <sz val="11"/>
        <color theme="1"/>
        <rFont val="Calibri"/>
        <family val="2"/>
        <scheme val="minor"/>
      </rPr>
      <t>r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​(gBest−x)</t>
    </r>
  </si>
  <si>
    <t xml:space="preserve"> </t>
  </si>
  <si>
    <t>Iterasi 1</t>
  </si>
  <si>
    <t>Inisialisasi Partikel</t>
  </si>
  <si>
    <t>Penentuan Global Best</t>
  </si>
  <si>
    <t>Evaluasi &amp; Inisialisasi pBest</t>
  </si>
  <si>
    <t>Iterasi 2</t>
  </si>
  <si>
    <t>f(x) iterasi 1</t>
  </si>
  <si>
    <t>x iterasi 1</t>
  </si>
  <si>
    <t>v iterasi 1</t>
  </si>
  <si>
    <t>f(x) iterasi  1</t>
  </si>
  <si>
    <t>v iterasi 2</t>
  </si>
  <si>
    <t>x iterasi 2</t>
  </si>
  <si>
    <t>f(x) iterasi  2</t>
  </si>
  <si>
    <t>pBest baru</t>
  </si>
  <si>
    <t>f(x) iterasi 2</t>
  </si>
  <si>
    <t>f(pBest) iterasi 1</t>
  </si>
  <si>
    <t>pBest iterasi 2</t>
  </si>
  <si>
    <t>f(pBest) iterasi 2</t>
  </si>
  <si>
    <t>Penentuan Global Best Iterasi 1</t>
  </si>
  <si>
    <t>Penentuan Global Best Iterasi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</si>
</sst>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vertical="center" wrapText="1"/>
    </xf>
    <xf numFmtId="0" fontId="0" fillId="0" borderId="0" xfId="0" applyAlignment="1"/>
    <xf numFmtId="0" fontId="0" fillId="0" borderId="5" xfId="0" applyBorder="1" applyAlignment="1">
      <alignment vertical="center" wrapText="1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E003-CF7C-45B7-A8FA-52545FAF5D06}">
  <dimension ref="A1:T23"/>
  <sheetViews>
    <sheetView tabSelected="1" workbookViewId="0">
      <selection activeCell="P15" sqref="P15"/>
    </sheetView>
  </sheetViews>
  <sheetFormatPr defaultColWidth="12.28515625" defaultRowHeight="15" x14ac:dyDescent="0.25"/>
  <cols>
    <col min="1" max="1" width="34" bestFit="1" customWidth="1"/>
    <col min="2" max="2" width="8" bestFit="1" customWidth="1"/>
    <col min="3" max="3" width="6.5703125" bestFit="1" customWidth="1"/>
    <col min="4" max="4" width="8" bestFit="1" customWidth="1"/>
    <col min="5" max="5" width="14" bestFit="1" customWidth="1"/>
    <col min="6" max="6" width="8.140625" bestFit="1" customWidth="1"/>
    <col min="7" max="8" width="9.42578125" bestFit="1" customWidth="1"/>
    <col min="9" max="9" width="12" bestFit="1" customWidth="1"/>
    <col min="10" max="10" width="11.5703125" bestFit="1" customWidth="1"/>
    <col min="11" max="11" width="20" customWidth="1"/>
    <col min="12" max="12" width="15.7109375" bestFit="1" customWidth="1"/>
    <col min="13" max="13" width="9.7109375" bestFit="1" customWidth="1"/>
    <col min="14" max="14" width="9.42578125" bestFit="1" customWidth="1"/>
    <col min="15" max="16" width="12" bestFit="1" customWidth="1"/>
    <col min="17" max="17" width="20.7109375" customWidth="1"/>
    <col min="18" max="18" width="15.7109375" bestFit="1" customWidth="1"/>
  </cols>
  <sheetData>
    <row r="1" spans="1:20" ht="17.25" x14ac:dyDescent="0.25">
      <c r="A1" s="5" t="s">
        <v>0</v>
      </c>
      <c r="B1" s="5" t="s">
        <v>1</v>
      </c>
      <c r="D1" t="s">
        <v>16</v>
      </c>
      <c r="E1" t="s">
        <v>15</v>
      </c>
      <c r="G1" t="s">
        <v>26</v>
      </c>
    </row>
    <row r="2" spans="1:20" x14ac:dyDescent="0.25">
      <c r="A2" s="1" t="s">
        <v>2</v>
      </c>
      <c r="B2" s="1">
        <v>0.5</v>
      </c>
    </row>
    <row r="3" spans="1:20" x14ac:dyDescent="0.25">
      <c r="A3" s="1" t="s">
        <v>3</v>
      </c>
      <c r="B3" s="1">
        <v>1.5</v>
      </c>
    </row>
    <row r="4" spans="1:20" x14ac:dyDescent="0.25">
      <c r="A4" s="1" t="s">
        <v>4</v>
      </c>
      <c r="B4" s="1">
        <v>1.5</v>
      </c>
    </row>
    <row r="5" spans="1:20" x14ac:dyDescent="0.25">
      <c r="A5" s="1" t="s">
        <v>5</v>
      </c>
      <c r="B5" s="1">
        <v>0.5</v>
      </c>
    </row>
    <row r="6" spans="1:20" x14ac:dyDescent="0.25">
      <c r="A6" s="9" t="s">
        <v>6</v>
      </c>
      <c r="B6" s="9">
        <v>0.7</v>
      </c>
      <c r="G6" s="8"/>
      <c r="H6" s="8"/>
      <c r="I6" s="8"/>
      <c r="J6" s="8"/>
      <c r="K6" s="8"/>
      <c r="L6" s="8"/>
      <c r="M6" s="8"/>
      <c r="S6" s="8"/>
      <c r="T6" s="8"/>
    </row>
    <row r="7" spans="1:20" ht="30" customHeight="1" x14ac:dyDescent="0.25">
      <c r="A7" s="17" t="s">
        <v>28</v>
      </c>
      <c r="B7" s="17"/>
      <c r="C7" s="17"/>
      <c r="D7" s="11" t="s">
        <v>30</v>
      </c>
      <c r="E7" s="11"/>
      <c r="F7" s="11"/>
      <c r="G7" s="14" t="s">
        <v>27</v>
      </c>
      <c r="H7" s="15"/>
      <c r="I7" s="16"/>
      <c r="J7" s="11" t="s">
        <v>30</v>
      </c>
      <c r="K7" s="11"/>
      <c r="L7" s="11"/>
      <c r="M7" s="14" t="s">
        <v>31</v>
      </c>
      <c r="N7" s="15"/>
      <c r="O7" s="16"/>
      <c r="P7" s="11" t="s">
        <v>30</v>
      </c>
      <c r="Q7" s="11"/>
      <c r="R7" s="11"/>
    </row>
    <row r="8" spans="1:20" x14ac:dyDescent="0.25">
      <c r="A8" s="3" t="s">
        <v>7</v>
      </c>
      <c r="B8" s="3" t="s">
        <v>8</v>
      </c>
      <c r="C8" s="3" t="s">
        <v>9</v>
      </c>
      <c r="D8" s="10" t="s">
        <v>17</v>
      </c>
      <c r="E8" s="10" t="s">
        <v>18</v>
      </c>
      <c r="F8" s="10" t="s">
        <v>19</v>
      </c>
      <c r="G8" s="4" t="s">
        <v>34</v>
      </c>
      <c r="H8" s="4" t="s">
        <v>33</v>
      </c>
      <c r="I8" s="4" t="s">
        <v>35</v>
      </c>
      <c r="J8" s="10" t="s">
        <v>32</v>
      </c>
      <c r="K8" s="10" t="s">
        <v>39</v>
      </c>
      <c r="L8" s="10" t="s">
        <v>41</v>
      </c>
      <c r="M8" s="4" t="s">
        <v>36</v>
      </c>
      <c r="N8" s="4" t="s">
        <v>37</v>
      </c>
      <c r="O8" s="4" t="s">
        <v>38</v>
      </c>
      <c r="P8" s="10" t="s">
        <v>40</v>
      </c>
      <c r="Q8" s="10" t="s">
        <v>42</v>
      </c>
      <c r="R8" s="10" t="s">
        <v>43</v>
      </c>
    </row>
    <row r="9" spans="1:20" x14ac:dyDescent="0.25">
      <c r="A9" s="1" t="s">
        <v>10</v>
      </c>
      <c r="B9" s="1">
        <v>1</v>
      </c>
      <c r="C9" s="1">
        <v>0</v>
      </c>
      <c r="D9" s="2">
        <f>B9^2 - 10*B9 + 25</f>
        <v>16</v>
      </c>
      <c r="E9" s="2">
        <f>B9</f>
        <v>1</v>
      </c>
      <c r="F9" s="2">
        <f>D9</f>
        <v>16</v>
      </c>
      <c r="G9" s="2">
        <f xml:space="preserve"> $B$4 * $B$6 * ($E$15 - B9)</f>
        <v>2.0999999999999996</v>
      </c>
      <c r="H9" s="2">
        <f xml:space="preserve"> B9 + G9</f>
        <v>3.0999999999999996</v>
      </c>
      <c r="I9" s="2">
        <f xml:space="preserve"> H9^2 - 10*H9 + 25</f>
        <v>3.6099999999999994</v>
      </c>
      <c r="J9" s="2">
        <f>I9</f>
        <v>3.6099999999999994</v>
      </c>
      <c r="K9" s="2">
        <f>IF(J9&lt;F9,I9,E9)</f>
        <v>3.6099999999999994</v>
      </c>
      <c r="L9" s="2">
        <f>IF(J9&lt;F9,J9,F9)</f>
        <v>3.6099999999999994</v>
      </c>
      <c r="M9" s="2">
        <f>$B$4*$B$6*($K$15 - I9)</f>
        <v>-0.53549999999999964</v>
      </c>
      <c r="N9" s="2">
        <f>I9 + M9</f>
        <v>3.0744999999999996</v>
      </c>
      <c r="O9" s="2">
        <f>N9^2 - 10*N9 + 25</f>
        <v>3.7075502500000006</v>
      </c>
      <c r="P9" s="2">
        <f>O9</f>
        <v>3.7075502500000006</v>
      </c>
      <c r="Q9" s="2">
        <f>IF(P9&lt;L9,O9,K9)</f>
        <v>3.6099999999999994</v>
      </c>
      <c r="R9" s="2">
        <f>IF(P9&lt;L9,P9,L9)</f>
        <v>3.6099999999999994</v>
      </c>
    </row>
    <row r="10" spans="1:20" x14ac:dyDescent="0.25">
      <c r="A10" s="1" t="s">
        <v>11</v>
      </c>
      <c r="B10" s="1">
        <v>8</v>
      </c>
      <c r="C10" s="1">
        <v>0</v>
      </c>
      <c r="D10" s="2">
        <f>B10^2 - 10*B10 + 25</f>
        <v>9</v>
      </c>
      <c r="E10" s="2">
        <f>B10</f>
        <v>8</v>
      </c>
      <c r="F10" s="2">
        <f t="shared" ref="F10:F13" si="0">D10</f>
        <v>9</v>
      </c>
      <c r="G10" s="2">
        <f xml:space="preserve"> $B$4 * $B$6 * ($E$15 - B10)</f>
        <v>-5.2499999999999991</v>
      </c>
      <c r="H10" s="2">
        <f t="shared" ref="H10:H13" si="1" xml:space="preserve"> B10 + G10</f>
        <v>2.7500000000000009</v>
      </c>
      <c r="I10" s="2">
        <f t="shared" ref="I10:I13" si="2" xml:space="preserve"> H10^2 - 10*H10 + 25</f>
        <v>5.0625</v>
      </c>
      <c r="J10" s="2">
        <f t="shared" ref="J10:J13" si="3">I10</f>
        <v>5.0625</v>
      </c>
      <c r="K10" s="2">
        <f t="shared" ref="K10:K13" si="4">IF(J10&lt;F10,I10,E10)</f>
        <v>5.0625</v>
      </c>
      <c r="L10" s="2">
        <f t="shared" ref="L10:L13" si="5">IF(J10&lt;F10,J10,F10)</f>
        <v>5.0625</v>
      </c>
      <c r="M10" s="2">
        <f>$B$4*$B$6*($K$15 - I10)</f>
        <v>-2.0606249999999999</v>
      </c>
      <c r="N10" s="2">
        <f t="shared" ref="N10:N13" si="6">I10 + M10</f>
        <v>3.0018750000000001</v>
      </c>
      <c r="O10" s="2">
        <f t="shared" ref="O10:O13" si="7">N10^2 - 10*N10 + 25</f>
        <v>3.9925035156249997</v>
      </c>
      <c r="P10" s="2">
        <f t="shared" ref="P10:P13" si="8">O10</f>
        <v>3.9925035156249997</v>
      </c>
      <c r="Q10" s="2">
        <f t="shared" ref="Q10:Q13" si="9">IF(P10&lt;L10,O10,K10)</f>
        <v>3.9925035156249997</v>
      </c>
      <c r="R10" s="2">
        <f t="shared" ref="R10:R13" si="10">IF(P10&lt;L10,P10,L10)</f>
        <v>3.9925035156249997</v>
      </c>
    </row>
    <row r="11" spans="1:20" x14ac:dyDescent="0.25">
      <c r="A11" s="1" t="s">
        <v>12</v>
      </c>
      <c r="B11" s="1">
        <v>12</v>
      </c>
      <c r="C11" s="1">
        <v>0</v>
      </c>
      <c r="D11" s="2">
        <f>B11^2 - 10*B11 + 25</f>
        <v>49</v>
      </c>
      <c r="E11" s="2">
        <f>B11</f>
        <v>12</v>
      </c>
      <c r="F11" s="2">
        <f>D11</f>
        <v>49</v>
      </c>
      <c r="G11" s="2">
        <f xml:space="preserve"> $B$4 * $B$6 * ($E$15 - B11)</f>
        <v>-9.4499999999999993</v>
      </c>
      <c r="H11" s="2">
        <f t="shared" si="1"/>
        <v>2.5500000000000007</v>
      </c>
      <c r="I11" s="2">
        <f t="shared" si="2"/>
        <v>6.0024999999999977</v>
      </c>
      <c r="J11" s="2">
        <f t="shared" si="3"/>
        <v>6.0024999999999977</v>
      </c>
      <c r="K11" s="2">
        <f t="shared" si="4"/>
        <v>6.0024999999999977</v>
      </c>
      <c r="L11" s="2">
        <f t="shared" si="5"/>
        <v>6.0024999999999977</v>
      </c>
      <c r="M11" s="2">
        <f>$B$4*$B$6*($K$15 - I11)</f>
        <v>-3.0476249999999974</v>
      </c>
      <c r="N11" s="2">
        <f t="shared" si="6"/>
        <v>2.9548750000000004</v>
      </c>
      <c r="O11" s="2">
        <f t="shared" si="7"/>
        <v>4.1825362656249965</v>
      </c>
      <c r="P11" s="2">
        <f t="shared" si="8"/>
        <v>4.1825362656249965</v>
      </c>
      <c r="Q11" s="2">
        <f t="shared" si="9"/>
        <v>4.1825362656249965</v>
      </c>
      <c r="R11" s="2">
        <f t="shared" si="10"/>
        <v>4.1825362656249965</v>
      </c>
    </row>
    <row r="12" spans="1:20" x14ac:dyDescent="0.25">
      <c r="A12" s="1" t="s">
        <v>13</v>
      </c>
      <c r="B12" s="1">
        <v>3</v>
      </c>
      <c r="C12" s="1">
        <v>0</v>
      </c>
      <c r="D12" s="2">
        <f>B12^2 - 10*B12 + 25</f>
        <v>4</v>
      </c>
      <c r="E12" s="2">
        <f>B12</f>
        <v>3</v>
      </c>
      <c r="F12" s="2">
        <f t="shared" si="0"/>
        <v>4</v>
      </c>
      <c r="G12" s="2">
        <f xml:space="preserve"> $B$4 * $B$6 * ($E$15 - B12)</f>
        <v>0</v>
      </c>
      <c r="H12" s="2">
        <f t="shared" si="1"/>
        <v>3</v>
      </c>
      <c r="I12" s="2">
        <f t="shared" si="2"/>
        <v>4</v>
      </c>
      <c r="J12" s="2">
        <f t="shared" si="3"/>
        <v>4</v>
      </c>
      <c r="K12" s="2">
        <f t="shared" si="4"/>
        <v>3</v>
      </c>
      <c r="L12" s="2">
        <f t="shared" si="5"/>
        <v>4</v>
      </c>
      <c r="M12" s="2">
        <f>$B$4*$B$6*($K$15 - I12)</f>
        <v>-0.94500000000000017</v>
      </c>
      <c r="N12" s="2">
        <f t="shared" si="6"/>
        <v>3.0549999999999997</v>
      </c>
      <c r="O12" s="2">
        <f t="shared" si="7"/>
        <v>3.7830250000000021</v>
      </c>
      <c r="P12" s="2">
        <f t="shared" si="8"/>
        <v>3.7830250000000021</v>
      </c>
      <c r="Q12" s="2">
        <f t="shared" si="9"/>
        <v>3.7830250000000021</v>
      </c>
      <c r="R12" s="2">
        <f t="shared" si="10"/>
        <v>3.7830250000000021</v>
      </c>
    </row>
    <row r="13" spans="1:20" x14ac:dyDescent="0.25">
      <c r="A13" s="1" t="s">
        <v>14</v>
      </c>
      <c r="B13" s="1">
        <v>10</v>
      </c>
      <c r="C13" s="1">
        <v>0</v>
      </c>
      <c r="D13" s="2">
        <f>B13^2 - 10*B13 + 25</f>
        <v>25</v>
      </c>
      <c r="E13" s="2">
        <f>B13</f>
        <v>10</v>
      </c>
      <c r="F13" s="2">
        <f t="shared" si="0"/>
        <v>25</v>
      </c>
      <c r="G13" s="2">
        <f xml:space="preserve"> $B$4 * $B$6 * ($E$15 - B13)</f>
        <v>-7.3499999999999988</v>
      </c>
      <c r="H13" s="2">
        <f t="shared" si="1"/>
        <v>2.6500000000000012</v>
      </c>
      <c r="I13" s="2">
        <f t="shared" si="2"/>
        <v>5.5224999999999937</v>
      </c>
      <c r="J13" s="2">
        <f t="shared" si="3"/>
        <v>5.5224999999999937</v>
      </c>
      <c r="K13" s="2">
        <f t="shared" si="4"/>
        <v>5.5224999999999937</v>
      </c>
      <c r="L13" s="2">
        <f t="shared" si="5"/>
        <v>5.5224999999999937</v>
      </c>
      <c r="M13" s="2">
        <f>$B$4*$B$6*($K$15 - I13)</f>
        <v>-2.5436249999999934</v>
      </c>
      <c r="N13" s="2">
        <f t="shared" si="6"/>
        <v>2.9788750000000004</v>
      </c>
      <c r="O13" s="2">
        <f t="shared" si="7"/>
        <v>4.0849462656249997</v>
      </c>
      <c r="P13" s="2">
        <f t="shared" si="8"/>
        <v>4.0849462656249997</v>
      </c>
      <c r="Q13" s="2">
        <f t="shared" si="9"/>
        <v>4.0849462656249997</v>
      </c>
      <c r="R13" s="2">
        <f t="shared" si="10"/>
        <v>4.0849462656249997</v>
      </c>
    </row>
    <row r="14" spans="1:20" x14ac:dyDescent="0.25">
      <c r="D14" s="12" t="s">
        <v>29</v>
      </c>
      <c r="E14" s="12"/>
      <c r="J14" s="12" t="s">
        <v>44</v>
      </c>
      <c r="K14" s="12"/>
      <c r="P14" s="12" t="s">
        <v>45</v>
      </c>
      <c r="Q14" s="12"/>
    </row>
    <row r="15" spans="1:20" x14ac:dyDescent="0.25">
      <c r="B15" s="6" t="s">
        <v>20</v>
      </c>
      <c r="C15" s="2">
        <f>INDEX(C9:C13, MATCH(MIN(D9:D13), D9:D13,0))</f>
        <v>0</v>
      </c>
      <c r="D15" s="6" t="s">
        <v>20</v>
      </c>
      <c r="E15" s="2">
        <f>INDEX(B9:B13, MATCH(MIN(F9:F13), F9:F13, 0))</f>
        <v>3</v>
      </c>
      <c r="F15" s="2">
        <f>INDEX(H9:H13, MATCH(MIN(I9:I13),I9:I13,0))</f>
        <v>3.0999999999999996</v>
      </c>
      <c r="J15" s="6" t="s">
        <v>20</v>
      </c>
      <c r="K15" s="2">
        <f>INDEX(H9:H13, MATCH(MIN(L9:L13), L9:L13, 0))</f>
        <v>3.0999999999999996</v>
      </c>
      <c r="P15" s="6" t="s">
        <v>20</v>
      </c>
      <c r="Q15" s="2">
        <f>INDEX(N9:N13, MATCH(MIN(R9:R13), R9:R13, 0))</f>
        <v>3.0744999999999996</v>
      </c>
    </row>
    <row r="16" spans="1:20" x14ac:dyDescent="0.25">
      <c r="B16" s="18" t="s">
        <v>21</v>
      </c>
      <c r="C16" s="2">
        <f>MIN(D9:D13)</f>
        <v>4</v>
      </c>
      <c r="D16" s="7" t="s">
        <v>21</v>
      </c>
      <c r="E16" s="2">
        <f>E15^2 - 10*E15 + 25</f>
        <v>4</v>
      </c>
      <c r="F16" s="2">
        <f>MIN(I9:I13)</f>
        <v>3.6099999999999994</v>
      </c>
      <c r="J16" s="7" t="s">
        <v>21</v>
      </c>
      <c r="K16" s="2">
        <f>K15^2 - 10*K15 + 25</f>
        <v>3.6099999999999994</v>
      </c>
      <c r="P16" s="7" t="s">
        <v>21</v>
      </c>
      <c r="Q16" s="2">
        <f>Q15^2 - 10*Q15 + 25</f>
        <v>3.7075502500000006</v>
      </c>
    </row>
    <row r="19" spans="1:3" x14ac:dyDescent="0.25">
      <c r="A19" t="s">
        <v>22</v>
      </c>
    </row>
    <row r="20" spans="1:3" ht="18" x14ac:dyDescent="0.35">
      <c r="A20" s="13" t="s">
        <v>23</v>
      </c>
      <c r="B20" s="13"/>
      <c r="C20" s="13"/>
    </row>
    <row r="22" spans="1:3" x14ac:dyDescent="0.25">
      <c r="A22" t="s">
        <v>24</v>
      </c>
    </row>
    <row r="23" spans="1:3" ht="18" x14ac:dyDescent="0.35">
      <c r="A23" s="13" t="s">
        <v>25</v>
      </c>
      <c r="B23" s="13"/>
    </row>
  </sheetData>
  <mergeCells count="11">
    <mergeCell ref="P7:R7"/>
    <mergeCell ref="P14:Q14"/>
    <mergeCell ref="A20:C20"/>
    <mergeCell ref="A23:B23"/>
    <mergeCell ref="G7:I7"/>
    <mergeCell ref="A7:C7"/>
    <mergeCell ref="D7:F7"/>
    <mergeCell ref="D14:E14"/>
    <mergeCell ref="M7:O7"/>
    <mergeCell ref="J14:K14"/>
    <mergeCell ref="J7:L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 Ranata</dc:creator>
  <cp:lastModifiedBy>Randi Ranata</cp:lastModifiedBy>
  <dcterms:created xsi:type="dcterms:W3CDTF">2025-12-17T13:21:49Z</dcterms:created>
  <dcterms:modified xsi:type="dcterms:W3CDTF">2026-01-05T10:20:06Z</dcterms:modified>
</cp:coreProperties>
</file>